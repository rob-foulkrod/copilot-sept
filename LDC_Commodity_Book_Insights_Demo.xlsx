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2"/>
  <workbookPr/>
  <mc:AlternateContent xmlns:mc="http://schemas.openxmlformats.org/markup-compatibility/2006">
    <mc:Choice Requires="x15">
      <x15ac:absPath xmlns:x15ac="http://schemas.microsoft.com/office/spreadsheetml/2010/11/ac" url="C:\Users\robfoulkrod\Downloads\"/>
    </mc:Choice>
  </mc:AlternateContent>
  <xr:revisionPtr revIDLastSave="0" documentId="13_ncr:101_{29D023ED-B9E7-4788-91A9-95BAD87C1137}" xr6:coauthVersionLast="47" xr6:coauthVersionMax="47" xr10:uidLastSave="{00000000-0000-0000-0000-000000000000}"/>
  <bookViews>
    <workbookView xWindow="35895" yWindow="-120" windowWidth="29040" windowHeight="15720" xr2:uid="{00000000-000D-0000-FFFF-FFFF00000000}"/>
  </bookViews>
  <sheets>
    <sheet name="Trade Flows" sheetId="1" r:id="rId1"/>
    <sheet name="Risk Metrics" sheetId="2" r:id="rId2"/>
    <sheet name="Counterparty Reference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13" i="2"/>
  <c r="G12" i="2"/>
  <c r="G11" i="2"/>
  <c r="G10" i="2"/>
  <c r="G9" i="2"/>
  <c r="G8" i="2"/>
  <c r="G7" i="2"/>
  <c r="G6" i="2"/>
  <c r="G5" i="2"/>
  <c r="G4" i="2"/>
  <c r="G3" i="2"/>
  <c r="G2" i="2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9" i="1"/>
  <c r="L10" i="1"/>
  <c r="L8" i="1"/>
  <c r="L6" i="1"/>
  <c r="L7" i="1"/>
  <c r="L4" i="1"/>
  <c r="L5" i="1"/>
  <c r="L3" i="1"/>
  <c r="L2" i="1"/>
</calcChain>
</file>

<file path=xl/sharedStrings.xml><?xml version="1.0" encoding="utf-8"?>
<sst xmlns="http://schemas.openxmlformats.org/spreadsheetml/2006/main" count="408" uniqueCount="176">
  <si>
    <t>Trade Book ID</t>
  </si>
  <si>
    <t>Product Line</t>
  </si>
  <si>
    <t>Commodity</t>
  </si>
  <si>
    <t>Region</t>
  </si>
  <si>
    <t>Client Segment</t>
  </si>
  <si>
    <t>Month</t>
  </si>
  <si>
    <t>Contracted Volume (000 MT)</t>
  </si>
  <si>
    <t>Gross Trade Value ($M)</t>
  </si>
  <si>
    <t>Net Flows ($M)</t>
  </si>
  <si>
    <t>Book Value End ($M)</t>
  </si>
  <si>
    <t>Merchandising Margin (bps)</t>
  </si>
  <si>
    <t>Est. Annual Margin Revenue ($M)</t>
  </si>
  <si>
    <t>Counterparty</t>
  </si>
  <si>
    <t>Merchandiser</t>
  </si>
  <si>
    <t>Position Limit Utilization (%)</t>
  </si>
  <si>
    <t>LDC-GO-101</t>
  </si>
  <si>
    <t>Grains &amp; Oilseeds</t>
  </si>
  <si>
    <t>Soybeans</t>
  </si>
  <si>
    <t>South America</t>
  </si>
  <si>
    <t>Food Manufacturer</t>
  </si>
  <si>
    <t>2026-01</t>
  </si>
  <si>
    <t>Northwind Traders</t>
  </si>
  <si>
    <t>Dakota Sanchez</t>
  </si>
  <si>
    <t>LDC-GO-102</t>
  </si>
  <si>
    <t>Corn</t>
  </si>
  <si>
    <t>North America</t>
  </si>
  <si>
    <t>Feed &amp; Livestock</t>
  </si>
  <si>
    <t>Tailwind Traders</t>
  </si>
  <si>
    <t>Aaron Gonzales</t>
  </si>
  <si>
    <t>LDC-CF-201</t>
  </si>
  <si>
    <t>Coffee</t>
  </si>
  <si>
    <t>Arabica</t>
  </si>
  <si>
    <t>Beverage Producer</t>
  </si>
  <si>
    <t>Fourth Coffee</t>
  </si>
  <si>
    <t>Abigail Jackson</t>
  </si>
  <si>
    <t>LDC-SG-301</t>
  </si>
  <si>
    <t>Sugar</t>
  </si>
  <si>
    <t>Raw Sugar</t>
  </si>
  <si>
    <t>Munson's Pickles and Preserves Farm</t>
  </si>
  <si>
    <t>Jordan Mitchell</t>
  </si>
  <si>
    <t>LDC-CT-401</t>
  </si>
  <si>
    <t>Cotton</t>
  </si>
  <si>
    <t>Upland Cotton</t>
  </si>
  <si>
    <t>Retail &amp; CPG</t>
  </si>
  <si>
    <t>Lakeshore Retail</t>
  </si>
  <si>
    <t>Jamal Carter</t>
  </si>
  <si>
    <t>LDC-RC-501</t>
  </si>
  <si>
    <t>Rice</t>
  </si>
  <si>
    <t>Long Grain Rice</t>
  </si>
  <si>
    <t>Asia Pacific</t>
  </si>
  <si>
    <t>Wide World Importers</t>
  </si>
  <si>
    <t>Elizabeth Moore</t>
  </si>
  <si>
    <t>LDC-JC-601</t>
  </si>
  <si>
    <t>Juice</t>
  </si>
  <si>
    <t>Orange Juice Concentrate</t>
  </si>
  <si>
    <t>Europe</t>
  </si>
  <si>
    <t>Food Manufacturers</t>
  </si>
  <si>
    <t>2026-02</t>
  </si>
  <si>
    <t>Best For You Organics Company</t>
  </si>
  <si>
    <t>Markus Long</t>
  </si>
  <si>
    <t>LDC-GO-103</t>
  </si>
  <si>
    <t>Wheat</t>
  </si>
  <si>
    <t>Liberty's Delightful Sinful Bakery &amp; Cafe</t>
  </si>
  <si>
    <t>Avery Washington</t>
  </si>
  <si>
    <t>LDC-FL-701</t>
  </si>
  <si>
    <t>Freight &amp; Logistics</t>
  </si>
  <si>
    <t>Ocean Freight</t>
  </si>
  <si>
    <t>Middle East &amp; Africa</t>
  </si>
  <si>
    <t>Consolidated Messenger</t>
  </si>
  <si>
    <t>Quinn Santiago</t>
  </si>
  <si>
    <t>LDC-CF-202</t>
  </si>
  <si>
    <t>Robusta</t>
  </si>
  <si>
    <t>LDC-SG-302</t>
  </si>
  <si>
    <t>Refined Sugar</t>
  </si>
  <si>
    <t>Woodgrove Groceries</t>
  </si>
  <si>
    <t>Alex Johnson</t>
  </si>
  <si>
    <t>LDC-GO-104</t>
  </si>
  <si>
    <t>Canola</t>
  </si>
  <si>
    <t>Biofuels</t>
  </si>
  <si>
    <t>2026-03</t>
  </si>
  <si>
    <t>Adatum Corporation</t>
  </si>
  <si>
    <t>Anne Patel</t>
  </si>
  <si>
    <t>LDC-GO-105</t>
  </si>
  <si>
    <t>Grains and Oilseeds Complex</t>
  </si>
  <si>
    <t>Sunflower Seed</t>
  </si>
  <si>
    <t>Contoso</t>
  </si>
  <si>
    <t>Skylar Bennett</t>
  </si>
  <si>
    <t>LDC-CF-204</t>
  </si>
  <si>
    <t>Arabica Blend</t>
  </si>
  <si>
    <t>Beverage Manufacturer</t>
  </si>
  <si>
    <t>Joseph Price</t>
  </si>
  <si>
    <t>LDC-RC-502</t>
  </si>
  <si>
    <t>Basmati Rice</t>
  </si>
  <si>
    <t>LDC-JC-602</t>
  </si>
  <si>
    <t>Apple Juice Concentrate</t>
  </si>
  <si>
    <t>2026-04</t>
  </si>
  <si>
    <t>LDC-CF-203</t>
  </si>
  <si>
    <t>Specialty Arabica</t>
  </si>
  <si>
    <t>Kai Carter</t>
  </si>
  <si>
    <t>LDC-GO-107</t>
  </si>
  <si>
    <t>Soybean Meal</t>
  </si>
  <si>
    <t>LDC-SG-303</t>
  </si>
  <si>
    <t>Ethanol-Linked Sugar</t>
  </si>
  <si>
    <t>LDC-GO-108</t>
  </si>
  <si>
    <t xml:space="preserve">Grains &amp; Oilseeds </t>
  </si>
  <si>
    <t>Sorghum</t>
  </si>
  <si>
    <t>2026-05</t>
  </si>
  <si>
    <t>Coffees</t>
  </si>
  <si>
    <t>LDC-GO-109</t>
  </si>
  <si>
    <t>Soybean Oil</t>
  </si>
  <si>
    <t>Biofuel and Renewable Fuel Producers</t>
  </si>
  <si>
    <t>LDC-CT-403</t>
  </si>
  <si>
    <t>Book Name</t>
  </si>
  <si>
    <t>Book Return (%)</t>
  </si>
  <si>
    <t>Benchmark Return (%)</t>
  </si>
  <si>
    <t>Active Return (%)</t>
  </si>
  <si>
    <t>Tracking Error (%)</t>
  </si>
  <si>
    <t>Risk Threshold (%)</t>
  </si>
  <si>
    <t>Value at Risk ($M)</t>
  </si>
  <si>
    <t>Risk Review Status</t>
  </si>
  <si>
    <t>Soybean Complex Book</t>
  </si>
  <si>
    <t>Within Tolerance</t>
  </si>
  <si>
    <t>Corn Merchandising Book</t>
  </si>
  <si>
    <t>Risk Review Required</t>
  </si>
  <si>
    <t>Arabica Origination Book</t>
  </si>
  <si>
    <t>Approaching Review</t>
  </si>
  <si>
    <t>Raw Sugar Book</t>
  </si>
  <si>
    <t>Upland Cotton Book</t>
  </si>
  <si>
    <t>Long Grain Rice Book</t>
  </si>
  <si>
    <t>Orange Juice Concentrate Book</t>
  </si>
  <si>
    <t>Milling Wheat Book</t>
  </si>
  <si>
    <t>Ocean Freight Book</t>
  </si>
  <si>
    <t>Robusta Origination Book</t>
  </si>
  <si>
    <t>Refined Sugar Book</t>
  </si>
  <si>
    <t>Canola Crush Book</t>
  </si>
  <si>
    <t>Soybean Meal Book</t>
  </si>
  <si>
    <t>Asia Cotton Book</t>
  </si>
  <si>
    <t>Sunflower Seed Book</t>
  </si>
  <si>
    <t>Arabica Blend Book</t>
  </si>
  <si>
    <t>Basmati Rice Book</t>
  </si>
  <si>
    <t>Apple Juice Concentrate Book</t>
  </si>
  <si>
    <t>Specialty Arabica Book</t>
  </si>
  <si>
    <t>Ethanol-Linked Sugar Book</t>
  </si>
  <si>
    <t>Sorghum Book</t>
  </si>
  <si>
    <t>Soybean Oil Book</t>
  </si>
  <si>
    <t>Counterparty Reference</t>
  </si>
  <si>
    <t>Counterparty Tier</t>
  </si>
  <si>
    <t>Credit Rating</t>
  </si>
  <si>
    <t>Payment Terms</t>
  </si>
  <si>
    <t>Country</t>
  </si>
  <si>
    <t>Relationship Owner</t>
  </si>
  <si>
    <t>Strategic</t>
  </si>
  <si>
    <t>A</t>
  </si>
  <si>
    <t>Net 30</t>
  </si>
  <si>
    <t>United States</t>
  </si>
  <si>
    <t>Maya Chen</t>
  </si>
  <si>
    <t>Core</t>
  </si>
  <si>
    <t>BBB</t>
  </si>
  <si>
    <t>Canada</t>
  </si>
  <si>
    <t>Owen Brooks</t>
  </si>
  <si>
    <t>Standard</t>
  </si>
  <si>
    <t>BB</t>
  </si>
  <si>
    <t>Net 45</t>
  </si>
  <si>
    <t>Priya Shah</t>
  </si>
  <si>
    <t>A-</t>
  </si>
  <si>
    <t>United Kingdom</t>
  </si>
  <si>
    <t>BBB+</t>
  </si>
  <si>
    <t>Netherlands</t>
  </si>
  <si>
    <t>BB+</t>
  </si>
  <si>
    <t>Germany</t>
  </si>
  <si>
    <t>Liam Foster</t>
  </si>
  <si>
    <t>BBB-</t>
  </si>
  <si>
    <t>Net 60</t>
  </si>
  <si>
    <t>United Arab Emirates</t>
  </si>
  <si>
    <t>France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</si>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</sst>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;\(&quot;$&quot;#,##0.0\);\-"/>
    <numFmt numFmtId="165" formatCode="&quot;$&quot;#,##0.00;\(&quot;$&quot;#,##0.00\);\-"/>
    <numFmt numFmtId="166" formatCode="0.0"/>
    <numFmt numFmtId="167" formatCode="0.0%"/>
    <numFmt numFmtId="169" formatCode="&quot;$&quot;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D2E"/>
        <bgColor indexed="64"/>
      </patternFill>
    </fill>
    <fill>
      <patternFill patternType="solid">
        <fgColor rgb="FFEEF3E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/>
    <xf numFmtId="3" fontId="1" fillId="0" borderId="0" xfId="0" applyNumberFormat="1" applyFont="1" applyAlignment="1">
      <alignment horizontal="right"/>
    </xf>
    <xf numFmtId="3" fontId="1" fillId="3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3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3" borderId="0" xfId="0" applyNumberFormat="1" applyFont="1" applyFill="1" applyAlignment="1">
      <alignment horizontal="right"/>
    </xf>
    <xf numFmtId="166" fontId="1" fillId="0" borderId="0" xfId="0" applyNumberFormat="1" applyFont="1" applyAlignment="1">
      <alignment horizontal="right"/>
    </xf>
    <xf numFmtId="166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67" fontId="1" fillId="0" borderId="0" xfId="0" applyNumberFormat="1" applyFont="1" applyAlignment="1">
      <alignment horizontal="right"/>
    </xf>
    <xf numFmtId="167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169" fontId="1" fillId="3" borderId="0" xfId="0" applyNumberFormat="1" applyFont="1" applyFill="1" applyAlignment="1">
      <alignment horizontal="right"/>
    </xf>
    <xf numFmtId="167" fontId="0" fillId="0" borderId="0" xfId="0" applyNumberFormat="1"/>
    <xf numFmtId="0" fontId="0" fillId="4" borderId="0" xfId="0" applyFill="1"/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/>
    <xf numFmtId="0" fontId="0" fillId="3" borderId="0" xfId="0" applyFill="1"/>
  </cellXfs>
  <cellStyles count="1">
    <cellStyle name="Normal" xfId="0" builtinId="0"/>
  </cellStyles>
  <dxfs count="8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b/>
        <color rgb="FFFFFFFF"/>
      </font>
      <fill>
        <patternFill patternType="solid">
          <fgColor indexed="64"/>
          <bgColor rgb="FF1F4D2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82DB1-8526-4032-A4DB-3D16F164EFAA}" name="CounterpartyReference" displayName="CounterpartyReference" ref="A3:F15" totalsRowShown="0" headerRowDxfId="7" dataDxfId="0">
  <autoFilter ref="A3:F15" xr:uid="{CCD82DB1-8526-4032-A4DB-3D16F164EFAA}"/>
  <tableColumns count="6">
    <tableColumn id="1" xr3:uid="{93EC971C-FB11-42A9-8ECA-64EF94C8B4BF}" name="Counterparty" dataDxfId="6"/>
    <tableColumn id="2" xr3:uid="{9EB4A346-EAFA-436A-8AF6-0502EB45F4C0}" name="Counterparty Tier" dataDxfId="5"/>
    <tableColumn id="3" xr3:uid="{ACAB0993-DB0E-425B-9CEE-56F8672AABCC}" name="Credit Rating" dataDxfId="4"/>
    <tableColumn id="4" xr3:uid="{69E82EFE-CA32-49D5-A0AC-A026CF80C443}" name="Payment Terms" dataDxfId="3"/>
    <tableColumn id="5" xr3:uid="{CB371073-AE52-4170-9DB2-2EC033909A5D}" name="Country" dataDxfId="2"/>
    <tableColumn id="6" xr3:uid="{D123CB72-E7E3-4629-8456-92A6E5302135}" name="Relationship Owne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pane ySplit="1" topLeftCell="A2" activePane="bottomLeft" state="frozen"/>
      <selection pane="bottomLeft" activeCell="I28" sqref="I28"/>
    </sheetView>
  </sheetViews>
  <sheetFormatPr defaultRowHeight="14.5" x14ac:dyDescent="0.35"/>
  <cols>
    <col min="1" max="1" width="12.6328125" bestFit="1" customWidth="1"/>
    <col min="2" max="2" width="26" bestFit="1" customWidth="1"/>
    <col min="3" max="3" width="25.7265625" customWidth="1"/>
    <col min="4" max="4" width="21.7265625" customWidth="1"/>
    <col min="5" max="5" width="26.7265625" customWidth="1"/>
    <col min="6" max="6" width="10.7265625" customWidth="1"/>
    <col min="7" max="7" width="15.7265625" customWidth="1"/>
    <col min="8" max="8" width="16.7265625" customWidth="1"/>
    <col min="9" max="9" width="14.7265625" customWidth="1"/>
    <col min="10" max="11" width="17.7265625" customWidth="1"/>
    <col min="12" max="12" width="19.7265625" customWidth="1"/>
    <col min="13" max="13" width="36.7265625" customWidth="1"/>
    <col min="14" max="14" width="19.7265625" customWidth="1"/>
    <col min="15" max="15" width="16.7265625" customWidth="1"/>
  </cols>
  <sheetData>
    <row r="1" spans="1:15" ht="33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2" t="s">
        <v>20</v>
      </c>
      <c r="G2" s="4">
        <v>412</v>
      </c>
      <c r="H2" s="6">
        <v>186.4</v>
      </c>
      <c r="I2" s="6">
        <v>22.5</v>
      </c>
      <c r="J2" s="6">
        <v>1180</v>
      </c>
      <c r="K2" s="4">
        <v>24</v>
      </c>
      <c r="L2" s="8">
        <f t="shared" ref="L2:L25" si="0">J2*K2/10000</f>
        <v>2.8319999999999999</v>
      </c>
      <c r="M2" s="1" t="s">
        <v>21</v>
      </c>
      <c r="N2" s="1" t="s">
        <v>22</v>
      </c>
      <c r="O2" s="10">
        <v>62</v>
      </c>
    </row>
    <row r="3" spans="1:15" x14ac:dyDescent="0.35">
      <c r="A3" s="3" t="s">
        <v>23</v>
      </c>
      <c r="B3" s="3" t="s">
        <v>16</v>
      </c>
      <c r="C3" s="3" t="s">
        <v>24</v>
      </c>
      <c r="D3" s="3" t="s">
        <v>25</v>
      </c>
      <c r="E3" s="3" t="s">
        <v>26</v>
      </c>
      <c r="F3" s="13" t="s">
        <v>20</v>
      </c>
      <c r="G3" s="5">
        <v>528</v>
      </c>
      <c r="H3" s="7">
        <v>141.80000000000001</v>
      </c>
      <c r="I3" s="7">
        <v>18.2</v>
      </c>
      <c r="J3" s="7">
        <v>960</v>
      </c>
      <c r="K3" s="5">
        <v>21</v>
      </c>
      <c r="L3" s="9">
        <f t="shared" si="0"/>
        <v>2.016</v>
      </c>
      <c r="M3" s="3" t="s">
        <v>27</v>
      </c>
      <c r="N3" s="3" t="s">
        <v>28</v>
      </c>
      <c r="O3" s="11">
        <v>58.5</v>
      </c>
    </row>
    <row r="4" spans="1:15" x14ac:dyDescent="0.35">
      <c r="A4" s="3" t="s">
        <v>35</v>
      </c>
      <c r="B4" s="3" t="s">
        <v>36</v>
      </c>
      <c r="C4" s="3" t="s">
        <v>37</v>
      </c>
      <c r="D4" s="3" t="s">
        <v>18</v>
      </c>
      <c r="E4" s="3" t="s">
        <v>19</v>
      </c>
      <c r="F4" s="13" t="s">
        <v>20</v>
      </c>
      <c r="G4" s="5">
        <v>310</v>
      </c>
      <c r="H4" s="7">
        <v>154</v>
      </c>
      <c r="I4" s="7">
        <v>-12.6</v>
      </c>
      <c r="J4" s="7">
        <v>690</v>
      </c>
      <c r="K4" s="5">
        <v>26</v>
      </c>
      <c r="L4" s="9">
        <f>J4*K4/10000</f>
        <v>1.794</v>
      </c>
      <c r="M4" s="3" t="s">
        <v>38</v>
      </c>
      <c r="N4" s="3" t="s">
        <v>39</v>
      </c>
      <c r="O4" s="11">
        <v>55.4</v>
      </c>
    </row>
    <row r="5" spans="1:15" x14ac:dyDescent="0.35">
      <c r="A5" s="1" t="s">
        <v>29</v>
      </c>
      <c r="B5" s="1" t="s">
        <v>30</v>
      </c>
      <c r="C5" s="1" t="s">
        <v>31</v>
      </c>
      <c r="D5" s="1" t="s">
        <v>18</v>
      </c>
      <c r="E5" s="1" t="s">
        <v>32</v>
      </c>
      <c r="F5" s="12" t="s">
        <v>20</v>
      </c>
      <c r="G5" s="4">
        <v>46</v>
      </c>
      <c r="H5" s="6">
        <v>212.6</v>
      </c>
      <c r="I5" s="6">
        <v>31.4</v>
      </c>
      <c r="J5" s="6">
        <v>745</v>
      </c>
      <c r="K5" s="4">
        <v>38</v>
      </c>
      <c r="L5" s="8">
        <f t="shared" si="0"/>
        <v>2.831</v>
      </c>
      <c r="M5" s="1" t="s">
        <v>33</v>
      </c>
      <c r="N5" s="1" t="s">
        <v>34</v>
      </c>
      <c r="O5" s="10">
        <v>71.2</v>
      </c>
    </row>
    <row r="6" spans="1:15" x14ac:dyDescent="0.35">
      <c r="A6" s="3" t="s">
        <v>46</v>
      </c>
      <c r="B6" s="3" t="s">
        <v>47</v>
      </c>
      <c r="C6" s="3" t="s">
        <v>48</v>
      </c>
      <c r="D6" s="3" t="s">
        <v>49</v>
      </c>
      <c r="E6" s="3" t="s">
        <v>19</v>
      </c>
      <c r="F6" s="13" t="s">
        <v>20</v>
      </c>
      <c r="G6" s="5">
        <v>165</v>
      </c>
      <c r="H6" s="7">
        <v>96.7</v>
      </c>
      <c r="I6" s="7">
        <v>5.4</v>
      </c>
      <c r="J6" s="7">
        <v>420</v>
      </c>
      <c r="K6" s="5">
        <v>29</v>
      </c>
      <c r="L6" s="9">
        <f>J6*K6/10000</f>
        <v>1.218</v>
      </c>
      <c r="M6" s="3" t="s">
        <v>50</v>
      </c>
      <c r="N6" s="3" t="s">
        <v>51</v>
      </c>
      <c r="O6" s="11">
        <v>44.6</v>
      </c>
    </row>
    <row r="7" spans="1:15" x14ac:dyDescent="0.35">
      <c r="A7" s="1" t="s">
        <v>40</v>
      </c>
      <c r="B7" s="1" t="s">
        <v>41</v>
      </c>
      <c r="C7" s="1" t="s">
        <v>42</v>
      </c>
      <c r="D7" s="1" t="s">
        <v>25</v>
      </c>
      <c r="E7" s="1" t="s">
        <v>43</v>
      </c>
      <c r="F7" s="12" t="s">
        <v>20</v>
      </c>
      <c r="G7" s="4">
        <v>74</v>
      </c>
      <c r="H7" s="6">
        <v>128.30000000000001</v>
      </c>
      <c r="I7" s="6">
        <v>9.8000000000000007</v>
      </c>
      <c r="J7" s="6">
        <v>505</v>
      </c>
      <c r="K7" s="4">
        <v>33</v>
      </c>
      <c r="L7" s="8">
        <f t="shared" si="0"/>
        <v>1.6665000000000001</v>
      </c>
      <c r="M7" s="1" t="s">
        <v>44</v>
      </c>
      <c r="N7" s="1" t="s">
        <v>45</v>
      </c>
      <c r="O7" s="10">
        <v>47.9</v>
      </c>
    </row>
    <row r="8" spans="1:15" x14ac:dyDescent="0.35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2" t="s">
        <v>57</v>
      </c>
      <c r="G8" s="4">
        <v>38</v>
      </c>
      <c r="H8" s="6">
        <v>88.9</v>
      </c>
      <c r="I8" s="6">
        <v>14.7</v>
      </c>
      <c r="J8" s="6">
        <v>365</v>
      </c>
      <c r="K8" s="4">
        <v>41</v>
      </c>
      <c r="L8" s="8">
        <f t="shared" si="0"/>
        <v>1.4964999999999999</v>
      </c>
      <c r="M8" s="1" t="s">
        <v>58</v>
      </c>
      <c r="N8" s="1" t="s">
        <v>59</v>
      </c>
      <c r="O8" s="10">
        <v>66.8</v>
      </c>
    </row>
    <row r="9" spans="1:15" x14ac:dyDescent="0.35">
      <c r="A9" s="1" t="s">
        <v>64</v>
      </c>
      <c r="B9" s="1" t="s">
        <v>65</v>
      </c>
      <c r="C9" s="1" t="s">
        <v>66</v>
      </c>
      <c r="D9" s="1" t="s">
        <v>67</v>
      </c>
      <c r="E9" s="1" t="s">
        <v>26</v>
      </c>
      <c r="F9" s="12" t="s">
        <v>57</v>
      </c>
      <c r="G9" s="4">
        <v>210</v>
      </c>
      <c r="H9" s="6">
        <v>74.2</v>
      </c>
      <c r="I9" s="6">
        <v>6.1</v>
      </c>
      <c r="J9" s="6">
        <v>280</v>
      </c>
      <c r="K9" s="4">
        <v>45</v>
      </c>
      <c r="L9" s="8">
        <f>J9*K9/10000</f>
        <v>1.26</v>
      </c>
      <c r="M9" s="1" t="s">
        <v>68</v>
      </c>
      <c r="N9" s="1" t="s">
        <v>69</v>
      </c>
      <c r="O9" s="10">
        <v>39.700000000000003</v>
      </c>
    </row>
    <row r="10" spans="1:15" x14ac:dyDescent="0.35">
      <c r="A10" s="3" t="s">
        <v>60</v>
      </c>
      <c r="B10" s="3" t="s">
        <v>16</v>
      </c>
      <c r="C10" s="3" t="s">
        <v>61</v>
      </c>
      <c r="D10" s="3" t="s">
        <v>55</v>
      </c>
      <c r="E10" s="3" t="s">
        <v>19</v>
      </c>
      <c r="F10" s="13" t="s">
        <v>57</v>
      </c>
      <c r="G10" s="5">
        <v>380</v>
      </c>
      <c r="H10" s="7">
        <v>132.5</v>
      </c>
      <c r="I10" s="7">
        <v>-8.9</v>
      </c>
      <c r="J10" s="7">
        <v>815</v>
      </c>
      <c r="K10" s="5">
        <v>19</v>
      </c>
      <c r="L10" s="9">
        <f t="shared" si="0"/>
        <v>1.5485</v>
      </c>
      <c r="M10" s="3" t="s">
        <v>62</v>
      </c>
      <c r="N10" s="3" t="s">
        <v>63</v>
      </c>
      <c r="O10" s="11">
        <v>51.3</v>
      </c>
    </row>
    <row r="11" spans="1:15" x14ac:dyDescent="0.35">
      <c r="A11" s="3" t="s">
        <v>70</v>
      </c>
      <c r="B11" s="3" t="s">
        <v>30</v>
      </c>
      <c r="C11" s="3" t="s">
        <v>71</v>
      </c>
      <c r="D11" s="3" t="s">
        <v>49</v>
      </c>
      <c r="E11" s="3" t="s">
        <v>32</v>
      </c>
      <c r="F11" s="13" t="s">
        <v>57</v>
      </c>
      <c r="G11" s="5">
        <v>52</v>
      </c>
      <c r="H11" s="7">
        <v>168.4</v>
      </c>
      <c r="I11" s="7">
        <v>20.3</v>
      </c>
      <c r="J11" s="7">
        <v>610</v>
      </c>
      <c r="K11" s="5">
        <v>36</v>
      </c>
      <c r="L11" s="9">
        <f t="shared" si="0"/>
        <v>2.1960000000000002</v>
      </c>
      <c r="M11" s="3" t="s">
        <v>33</v>
      </c>
      <c r="N11" s="3" t="s">
        <v>34</v>
      </c>
      <c r="O11" s="11">
        <v>63.4</v>
      </c>
    </row>
    <row r="12" spans="1:15" x14ac:dyDescent="0.35">
      <c r="A12" s="1" t="s">
        <v>72</v>
      </c>
      <c r="B12" s="1" t="s">
        <v>36</v>
      </c>
      <c r="C12" s="1" t="s">
        <v>73</v>
      </c>
      <c r="D12" s="1" t="s">
        <v>49</v>
      </c>
      <c r="E12" s="1" t="s">
        <v>43</v>
      </c>
      <c r="F12" s="12" t="s">
        <v>57</v>
      </c>
      <c r="G12" s="4">
        <v>240</v>
      </c>
      <c r="H12" s="6">
        <v>118.6</v>
      </c>
      <c r="I12" s="6">
        <v>-15.2</v>
      </c>
      <c r="J12" s="6">
        <v>540</v>
      </c>
      <c r="K12" s="4">
        <v>23</v>
      </c>
      <c r="L12" s="8">
        <f t="shared" si="0"/>
        <v>1.242</v>
      </c>
      <c r="M12" s="1" t="s">
        <v>74</v>
      </c>
      <c r="N12" s="1" t="s">
        <v>75</v>
      </c>
      <c r="O12" s="10">
        <v>49.1</v>
      </c>
    </row>
    <row r="13" spans="1:15" x14ac:dyDescent="0.3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13" t="s">
        <v>57</v>
      </c>
      <c r="G13" s="5">
        <v>38</v>
      </c>
      <c r="H13" s="7">
        <v>88.9</v>
      </c>
      <c r="I13" s="7">
        <v>14.7</v>
      </c>
      <c r="J13" s="7">
        <v>365</v>
      </c>
      <c r="K13" s="5">
        <v>41</v>
      </c>
      <c r="L13" s="9">
        <f t="shared" si="0"/>
        <v>1.4964999999999999</v>
      </c>
      <c r="M13" s="3" t="s">
        <v>58</v>
      </c>
      <c r="N13" s="3" t="s">
        <v>59</v>
      </c>
      <c r="O13" s="11">
        <v>66.8</v>
      </c>
    </row>
    <row r="14" spans="1:15" x14ac:dyDescent="0.35">
      <c r="A14" s="1" t="s">
        <v>76</v>
      </c>
      <c r="B14" s="1" t="s">
        <v>16</v>
      </c>
      <c r="C14" s="1" t="s">
        <v>77</v>
      </c>
      <c r="D14" s="1" t="s">
        <v>25</v>
      </c>
      <c r="E14" s="1" t="s">
        <v>78</v>
      </c>
      <c r="F14" s="12" t="s">
        <v>79</v>
      </c>
      <c r="G14" s="4">
        <v>295</v>
      </c>
      <c r="H14" s="6">
        <v>122.9</v>
      </c>
      <c r="I14" s="6">
        <v>16.8</v>
      </c>
      <c r="J14" s="6">
        <v>700</v>
      </c>
      <c r="K14" s="4">
        <v>22</v>
      </c>
      <c r="L14" s="8">
        <f t="shared" si="0"/>
        <v>1.54</v>
      </c>
      <c r="M14" s="1" t="s">
        <v>80</v>
      </c>
      <c r="N14" s="1" t="s">
        <v>81</v>
      </c>
      <c r="O14" s="10">
        <v>57.6</v>
      </c>
    </row>
    <row r="15" spans="1:15" x14ac:dyDescent="0.35">
      <c r="A15" s="3" t="s">
        <v>82</v>
      </c>
      <c r="B15" s="3" t="s">
        <v>83</v>
      </c>
      <c r="C15" s="3" t="s">
        <v>84</v>
      </c>
      <c r="D15" s="3" t="s">
        <v>55</v>
      </c>
      <c r="E15" s="3" t="s">
        <v>78</v>
      </c>
      <c r="F15" s="13" t="s">
        <v>79</v>
      </c>
      <c r="G15" s="5">
        <v>188</v>
      </c>
      <c r="H15" s="7">
        <v>97.4</v>
      </c>
      <c r="I15" s="7">
        <v>11.2</v>
      </c>
      <c r="J15" s="7">
        <v>455</v>
      </c>
      <c r="K15" s="5">
        <v>25</v>
      </c>
      <c r="L15" s="9">
        <f t="shared" si="0"/>
        <v>1.1375</v>
      </c>
      <c r="M15" s="3" t="s">
        <v>85</v>
      </c>
      <c r="N15" s="3" t="s">
        <v>86</v>
      </c>
      <c r="O15" s="11">
        <v>43.8</v>
      </c>
    </row>
    <row r="16" spans="1:15" x14ac:dyDescent="0.35">
      <c r="A16" s="1" t="s">
        <v>87</v>
      </c>
      <c r="B16" s="1" t="s">
        <v>30</v>
      </c>
      <c r="C16" s="1" t="s">
        <v>88</v>
      </c>
      <c r="D16" s="1" t="s">
        <v>55</v>
      </c>
      <c r="E16" s="1" t="s">
        <v>89</v>
      </c>
      <c r="F16" s="12" t="s">
        <v>79</v>
      </c>
      <c r="G16" s="4">
        <v>41</v>
      </c>
      <c r="H16" s="6">
        <v>137.5</v>
      </c>
      <c r="I16" s="6">
        <v>10.6</v>
      </c>
      <c r="J16" s="6">
        <v>560</v>
      </c>
      <c r="K16" s="4">
        <v>37</v>
      </c>
      <c r="L16" s="8">
        <f t="shared" si="0"/>
        <v>2.0720000000000001</v>
      </c>
      <c r="M16" s="1" t="s">
        <v>33</v>
      </c>
      <c r="N16" s="1" t="s">
        <v>90</v>
      </c>
      <c r="O16" s="10">
        <v>59.3</v>
      </c>
    </row>
    <row r="17" spans="1:15" x14ac:dyDescent="0.35">
      <c r="A17" s="3" t="s">
        <v>91</v>
      </c>
      <c r="B17" s="3" t="s">
        <v>47</v>
      </c>
      <c r="C17" s="3" t="s">
        <v>92</v>
      </c>
      <c r="D17" s="3" t="s">
        <v>67</v>
      </c>
      <c r="E17" s="3" t="s">
        <v>43</v>
      </c>
      <c r="F17" s="13" t="s">
        <v>79</v>
      </c>
      <c r="G17" s="5">
        <v>118</v>
      </c>
      <c r="H17" s="7">
        <v>84.3</v>
      </c>
      <c r="I17" s="7">
        <v>4.2</v>
      </c>
      <c r="J17" s="7">
        <v>350</v>
      </c>
      <c r="K17" s="5">
        <v>28</v>
      </c>
      <c r="L17" s="9">
        <f t="shared" si="0"/>
        <v>0.98</v>
      </c>
      <c r="M17" s="3" t="s">
        <v>50</v>
      </c>
      <c r="N17" s="3" t="s">
        <v>51</v>
      </c>
      <c r="O17" s="11">
        <v>41.5</v>
      </c>
    </row>
    <row r="18" spans="1:15" x14ac:dyDescent="0.35">
      <c r="A18" s="1" t="s">
        <v>93</v>
      </c>
      <c r="B18" s="1" t="s">
        <v>53</v>
      </c>
      <c r="C18" s="1" t="s">
        <v>94</v>
      </c>
      <c r="D18" s="1" t="s">
        <v>25</v>
      </c>
      <c r="E18" s="1" t="s">
        <v>32</v>
      </c>
      <c r="F18" s="12" t="s">
        <v>95</v>
      </c>
      <c r="G18" s="4">
        <v>44</v>
      </c>
      <c r="H18" s="6">
        <v>71.8</v>
      </c>
      <c r="I18" s="6">
        <v>3.6</v>
      </c>
      <c r="J18" s="6">
        <v>295</v>
      </c>
      <c r="K18" s="4">
        <v>39</v>
      </c>
      <c r="L18" s="8">
        <f t="shared" si="0"/>
        <v>1.1505000000000001</v>
      </c>
      <c r="M18" s="1" t="s">
        <v>58</v>
      </c>
      <c r="N18" s="1" t="s">
        <v>59</v>
      </c>
      <c r="O18" s="10">
        <v>38.200000000000003</v>
      </c>
    </row>
    <row r="19" spans="1:15" x14ac:dyDescent="0.35">
      <c r="A19" s="3" t="s">
        <v>96</v>
      </c>
      <c r="B19" s="3" t="s">
        <v>30</v>
      </c>
      <c r="C19" s="3" t="s">
        <v>97</v>
      </c>
      <c r="D19" s="3" t="s">
        <v>18</v>
      </c>
      <c r="E19" s="3" t="s">
        <v>32</v>
      </c>
      <c r="F19" s="13" t="s">
        <v>95</v>
      </c>
      <c r="G19" s="5">
        <v>29</v>
      </c>
      <c r="H19" s="7">
        <v>143.69999999999999</v>
      </c>
      <c r="I19" s="7">
        <v>12.9</v>
      </c>
      <c r="J19" s="7">
        <v>580</v>
      </c>
      <c r="K19" s="5">
        <v>42</v>
      </c>
      <c r="L19" s="9">
        <f t="shared" si="0"/>
        <v>2.4359999999999999</v>
      </c>
      <c r="M19" s="3" t="s">
        <v>33</v>
      </c>
      <c r="N19" s="3" t="s">
        <v>98</v>
      </c>
      <c r="O19" s="11">
        <v>68.900000000000006</v>
      </c>
    </row>
    <row r="20" spans="1:15" x14ac:dyDescent="0.35">
      <c r="A20" s="1" t="s">
        <v>99</v>
      </c>
      <c r="B20" s="1" t="s">
        <v>16</v>
      </c>
      <c r="C20" s="1" t="s">
        <v>100</v>
      </c>
      <c r="D20" s="1" t="s">
        <v>18</v>
      </c>
      <c r="E20" s="1" t="s">
        <v>26</v>
      </c>
      <c r="F20" s="12" t="s">
        <v>95</v>
      </c>
      <c r="G20" s="4">
        <v>640</v>
      </c>
      <c r="H20" s="6">
        <v>268.5</v>
      </c>
      <c r="I20" s="6">
        <v>650</v>
      </c>
      <c r="J20" s="6">
        <v>1420</v>
      </c>
      <c r="K20" s="4">
        <v>170</v>
      </c>
      <c r="L20" s="8">
        <f t="shared" si="0"/>
        <v>24.14</v>
      </c>
      <c r="M20" s="1" t="s">
        <v>21</v>
      </c>
      <c r="N20" s="1" t="s">
        <v>22</v>
      </c>
      <c r="O20" s="10">
        <v>74.3</v>
      </c>
    </row>
    <row r="21" spans="1:15" x14ac:dyDescent="0.35">
      <c r="A21" s="3" t="s">
        <v>101</v>
      </c>
      <c r="B21" s="3" t="s">
        <v>36</v>
      </c>
      <c r="C21" s="3" t="s">
        <v>102</v>
      </c>
      <c r="D21" s="3" t="s">
        <v>18</v>
      </c>
      <c r="E21" s="3" t="s">
        <v>78</v>
      </c>
      <c r="F21" s="13" t="s">
        <v>95</v>
      </c>
      <c r="G21" s="5">
        <v>205</v>
      </c>
      <c r="H21" s="7">
        <v>101.4</v>
      </c>
      <c r="I21" s="7">
        <v>-6.8</v>
      </c>
      <c r="J21" s="7">
        <v>430</v>
      </c>
      <c r="K21" s="5">
        <v>27</v>
      </c>
      <c r="L21" s="9">
        <f t="shared" si="0"/>
        <v>1.161</v>
      </c>
      <c r="M21" s="3" t="s">
        <v>85</v>
      </c>
      <c r="N21" s="3" t="s">
        <v>39</v>
      </c>
      <c r="O21" s="11">
        <v>46</v>
      </c>
    </row>
    <row r="22" spans="1:15" x14ac:dyDescent="0.35">
      <c r="A22" s="1" t="s">
        <v>103</v>
      </c>
      <c r="B22" s="1" t="s">
        <v>104</v>
      </c>
      <c r="C22" s="1" t="s">
        <v>105</v>
      </c>
      <c r="D22" s="1" t="s">
        <v>25</v>
      </c>
      <c r="E22" s="1" t="s">
        <v>26</v>
      </c>
      <c r="F22" s="12" t="s">
        <v>106</v>
      </c>
      <c r="G22" s="4">
        <v>152</v>
      </c>
      <c r="H22" s="6">
        <v>68.900000000000006</v>
      </c>
      <c r="I22" s="6">
        <v>5.7</v>
      </c>
      <c r="J22" s="6">
        <v>310</v>
      </c>
      <c r="K22" s="4">
        <v>23</v>
      </c>
      <c r="L22" s="8">
        <f t="shared" si="0"/>
        <v>0.71299999999999997</v>
      </c>
      <c r="M22" s="1" t="s">
        <v>80</v>
      </c>
      <c r="N22" s="1" t="s">
        <v>81</v>
      </c>
      <c r="O22" s="10">
        <v>40.799999999999997</v>
      </c>
    </row>
    <row r="23" spans="1:15" x14ac:dyDescent="0.35">
      <c r="A23" s="3" t="s">
        <v>87</v>
      </c>
      <c r="B23" s="3" t="s">
        <v>107</v>
      </c>
      <c r="C23" s="3" t="s">
        <v>88</v>
      </c>
      <c r="D23" s="3" t="s">
        <v>55</v>
      </c>
      <c r="E23" s="3" t="s">
        <v>89</v>
      </c>
      <c r="F23" s="13" t="s">
        <v>79</v>
      </c>
      <c r="G23" s="5">
        <v>41</v>
      </c>
      <c r="H23" s="7">
        <v>137.5</v>
      </c>
      <c r="I23" s="7">
        <v>10.6</v>
      </c>
      <c r="J23" s="7">
        <v>560</v>
      </c>
      <c r="K23" s="5">
        <v>37</v>
      </c>
      <c r="L23" s="9">
        <f t="shared" si="0"/>
        <v>2.0720000000000001</v>
      </c>
      <c r="M23" s="3" t="s">
        <v>33</v>
      </c>
      <c r="N23" s="3" t="s">
        <v>90</v>
      </c>
      <c r="O23" s="11">
        <v>59.3</v>
      </c>
    </row>
    <row r="24" spans="1:15" x14ac:dyDescent="0.35">
      <c r="A24" s="1" t="s">
        <v>108</v>
      </c>
      <c r="B24" s="1" t="s">
        <v>16</v>
      </c>
      <c r="C24" s="1" t="s">
        <v>109</v>
      </c>
      <c r="D24" s="1" t="s">
        <v>18</v>
      </c>
      <c r="E24" s="1" t="s">
        <v>110</v>
      </c>
      <c r="F24" s="12" t="s">
        <v>106</v>
      </c>
      <c r="G24" s="4">
        <v>224</v>
      </c>
      <c r="H24" s="6">
        <v>156.80000000000001</v>
      </c>
      <c r="I24" s="6">
        <v>13.5</v>
      </c>
      <c r="J24" s="6">
        <v>640</v>
      </c>
      <c r="K24" s="4">
        <v>26</v>
      </c>
      <c r="L24" s="8">
        <f t="shared" si="0"/>
        <v>1.6639999999999999</v>
      </c>
      <c r="M24" s="1" t="s">
        <v>85</v>
      </c>
      <c r="N24" s="1" t="s">
        <v>86</v>
      </c>
      <c r="O24" s="10">
        <v>54.9</v>
      </c>
    </row>
    <row r="25" spans="1:15" x14ac:dyDescent="0.35">
      <c r="A25" s="3" t="s">
        <v>111</v>
      </c>
      <c r="B25" s="3" t="s">
        <v>41</v>
      </c>
      <c r="C25" s="3" t="s">
        <v>42</v>
      </c>
      <c r="D25" s="3" t="s">
        <v>49</v>
      </c>
      <c r="E25" s="3" t="s">
        <v>43</v>
      </c>
      <c r="F25" s="13" t="s">
        <v>106</v>
      </c>
      <c r="G25" s="5">
        <v>68</v>
      </c>
      <c r="H25" s="7">
        <v>94.6</v>
      </c>
      <c r="I25" s="7">
        <v>6.9</v>
      </c>
      <c r="J25" s="7">
        <v>385</v>
      </c>
      <c r="K25" s="5">
        <v>30</v>
      </c>
      <c r="L25" s="9">
        <f t="shared" si="0"/>
        <v>1.155</v>
      </c>
      <c r="M25" s="3" t="s">
        <v>44</v>
      </c>
      <c r="N25" s="3" t="s">
        <v>45</v>
      </c>
      <c r="O25" s="11">
        <v>42.4</v>
      </c>
    </row>
    <row r="30" spans="1:15" x14ac:dyDescent="0.35">
      <c r="B30" s="19"/>
    </row>
    <row r="31" spans="1:15" x14ac:dyDescent="0.35">
      <c r="B31" s="1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1456-9CFB-4BAC-99BB-2FFCF8C674C5}">
  <dimension ref="A1:L23"/>
  <sheetViews>
    <sheetView topLeftCell="C1" workbookViewId="0">
      <pane ySplit="1" topLeftCell="A2" activePane="bottomLeft" state="frozen"/>
      <selection pane="bottomLeft" activeCell="L8" sqref="L8"/>
    </sheetView>
  </sheetViews>
  <sheetFormatPr defaultRowHeight="14.5" x14ac:dyDescent="0.35"/>
  <cols>
    <col min="1" max="1" width="15.7265625" customWidth="1"/>
    <col min="2" max="2" width="32.7265625" customWidth="1"/>
    <col min="3" max="3" width="21.7265625" customWidth="1"/>
    <col min="4" max="4" width="22.7265625" customWidth="1"/>
    <col min="5" max="5" width="15.7265625" customWidth="1"/>
    <col min="6" max="6" width="18.7265625" customWidth="1"/>
    <col min="7" max="9" width="15.7265625" customWidth="1"/>
    <col min="10" max="10" width="16.7265625" customWidth="1"/>
    <col min="11" max="11" width="18.7265625" customWidth="1"/>
    <col min="12" max="12" width="24.7265625" customWidth="1"/>
  </cols>
  <sheetData>
    <row r="1" spans="1:12" ht="33.75" customHeight="1" x14ac:dyDescent="0.35">
      <c r="A1" s="2" t="s">
        <v>0</v>
      </c>
      <c r="B1" s="2" t="s">
        <v>112</v>
      </c>
      <c r="C1" s="2" t="s">
        <v>1</v>
      </c>
      <c r="D1" s="2" t="s">
        <v>3</v>
      </c>
      <c r="E1" s="2" t="s">
        <v>113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118</v>
      </c>
      <c r="K1" s="2" t="s">
        <v>14</v>
      </c>
      <c r="L1" s="2" t="s">
        <v>119</v>
      </c>
    </row>
    <row r="2" spans="1:12" x14ac:dyDescent="0.35">
      <c r="A2" s="1" t="s">
        <v>15</v>
      </c>
      <c r="B2" s="1" t="s">
        <v>120</v>
      </c>
      <c r="C2" s="1" t="s">
        <v>16</v>
      </c>
      <c r="D2" s="1" t="s">
        <v>18</v>
      </c>
      <c r="E2" s="14">
        <v>8.2000000000000003E-2</v>
      </c>
      <c r="F2" s="14">
        <v>7.0999999999999994E-2</v>
      </c>
      <c r="G2" s="14">
        <f t="shared" ref="G2:G15" si="0">E2-F2</f>
        <v>1.100000000000001E-2</v>
      </c>
      <c r="H2" s="14">
        <v>2.1000000000000001E-2</v>
      </c>
      <c r="I2" s="14">
        <v>2.5000000000000001E-2</v>
      </c>
      <c r="J2" s="6">
        <v>18.399999999999999</v>
      </c>
      <c r="K2" s="14">
        <v>0.62</v>
      </c>
      <c r="L2" s="16" t="s">
        <v>121</v>
      </c>
    </row>
    <row r="3" spans="1:12" x14ac:dyDescent="0.35">
      <c r="A3" s="3" t="s">
        <v>23</v>
      </c>
      <c r="B3" s="3" t="s">
        <v>122</v>
      </c>
      <c r="C3" s="3" t="s">
        <v>16</v>
      </c>
      <c r="D3" s="3" t="s">
        <v>25</v>
      </c>
      <c r="E3" s="15">
        <v>5.3999999999999999E-2</v>
      </c>
      <c r="F3" s="15">
        <v>6.0999999999999999E-2</v>
      </c>
      <c r="G3" s="15">
        <f t="shared" si="0"/>
        <v>-6.9999999999999993E-3</v>
      </c>
      <c r="H3" s="15">
        <v>2.8000000000000001E-2</v>
      </c>
      <c r="I3" s="15">
        <v>2.5000000000000001E-2</v>
      </c>
      <c r="J3" s="7">
        <v>15.2</v>
      </c>
      <c r="K3" s="15">
        <v>0.58499999999999996</v>
      </c>
      <c r="L3" s="17" t="s">
        <v>123</v>
      </c>
    </row>
    <row r="4" spans="1:12" x14ac:dyDescent="0.35">
      <c r="A4" s="1" t="s">
        <v>29</v>
      </c>
      <c r="B4" s="1" t="s">
        <v>124</v>
      </c>
      <c r="C4" s="1" t="s">
        <v>30</v>
      </c>
      <c r="D4" s="1" t="s">
        <v>18</v>
      </c>
      <c r="E4" s="14">
        <v>0.113</v>
      </c>
      <c r="F4" s="14">
        <v>9.4E-2</v>
      </c>
      <c r="G4" s="14">
        <f t="shared" si="0"/>
        <v>1.9000000000000003E-2</v>
      </c>
      <c r="H4" s="14">
        <v>3.7999999999999999E-2</v>
      </c>
      <c r="I4" s="14">
        <v>0.04</v>
      </c>
      <c r="J4" s="6">
        <v>22.7</v>
      </c>
      <c r="K4" s="14">
        <v>0.71199999999999997</v>
      </c>
      <c r="L4" s="16" t="s">
        <v>125</v>
      </c>
    </row>
    <row r="5" spans="1:12" x14ac:dyDescent="0.35">
      <c r="A5" s="3" t="s">
        <v>35</v>
      </c>
      <c r="B5" s="3" t="s">
        <v>126</v>
      </c>
      <c r="C5" s="3" t="s">
        <v>36</v>
      </c>
      <c r="D5" s="3" t="s">
        <v>18</v>
      </c>
      <c r="E5" s="15">
        <v>3.1E-2</v>
      </c>
      <c r="F5" s="15">
        <v>4.8000000000000001E-2</v>
      </c>
      <c r="G5" s="15">
        <f t="shared" si="0"/>
        <v>-1.7000000000000001E-2</v>
      </c>
      <c r="H5" s="15">
        <v>3.4000000000000002E-2</v>
      </c>
      <c r="I5" s="15">
        <v>0.03</v>
      </c>
      <c r="J5" s="7">
        <v>19.8</v>
      </c>
      <c r="K5" s="15">
        <v>0.55400000000000005</v>
      </c>
      <c r="L5" s="17" t="s">
        <v>123</v>
      </c>
    </row>
    <row r="6" spans="1:12" x14ac:dyDescent="0.35">
      <c r="A6" s="1" t="s">
        <v>40</v>
      </c>
      <c r="B6" s="1" t="s">
        <v>127</v>
      </c>
      <c r="C6" s="1" t="s">
        <v>41</v>
      </c>
      <c r="D6" s="1" t="s">
        <v>25</v>
      </c>
      <c r="E6" s="14">
        <v>6.7000000000000004E-2</v>
      </c>
      <c r="F6" s="14">
        <v>5.8999999999999997E-2</v>
      </c>
      <c r="G6" s="14">
        <f t="shared" si="0"/>
        <v>8.0000000000000071E-3</v>
      </c>
      <c r="H6" s="14">
        <v>2.5999999999999999E-2</v>
      </c>
      <c r="I6" s="14">
        <v>3.2000000000000001E-2</v>
      </c>
      <c r="J6" s="6">
        <v>11.3</v>
      </c>
      <c r="K6" s="14">
        <v>0.47899999999999998</v>
      </c>
      <c r="L6" s="16" t="s">
        <v>121</v>
      </c>
    </row>
    <row r="7" spans="1:12" x14ac:dyDescent="0.35">
      <c r="A7" s="3" t="s">
        <v>46</v>
      </c>
      <c r="B7" s="3" t="s">
        <v>128</v>
      </c>
      <c r="C7" s="3" t="s">
        <v>47</v>
      </c>
      <c r="D7" s="3" t="s">
        <v>49</v>
      </c>
      <c r="E7" s="15">
        <v>4.2000000000000003E-2</v>
      </c>
      <c r="F7" s="15">
        <v>3.9E-2</v>
      </c>
      <c r="G7" s="15">
        <f t="shared" si="0"/>
        <v>3.0000000000000027E-3</v>
      </c>
      <c r="H7" s="15">
        <v>1.9E-2</v>
      </c>
      <c r="I7" s="15">
        <v>2.8000000000000001E-2</v>
      </c>
      <c r="J7" s="7">
        <v>8.6</v>
      </c>
      <c r="K7" s="15">
        <v>0.44600000000000001</v>
      </c>
      <c r="L7" s="17" t="s">
        <v>121</v>
      </c>
    </row>
    <row r="8" spans="1:12" x14ac:dyDescent="0.35">
      <c r="A8" s="1" t="s">
        <v>52</v>
      </c>
      <c r="B8" s="1" t="s">
        <v>129</v>
      </c>
      <c r="C8" s="1" t="s">
        <v>53</v>
      </c>
      <c r="D8" s="1" t="s">
        <v>55</v>
      </c>
      <c r="E8" s="14">
        <v>9.6000000000000002E-2</v>
      </c>
      <c r="F8" s="14">
        <v>7.6999999999999999E-2</v>
      </c>
      <c r="G8" s="14">
        <f t="shared" si="0"/>
        <v>1.9000000000000003E-2</v>
      </c>
      <c r="H8" s="14">
        <v>4.3999999999999997E-2</v>
      </c>
      <c r="I8" s="14">
        <v>4.4999999999999998E-2</v>
      </c>
      <c r="J8" s="6">
        <v>14.1</v>
      </c>
      <c r="K8" s="14">
        <v>0.66800000000000004</v>
      </c>
      <c r="L8" s="16" t="s">
        <v>125</v>
      </c>
    </row>
    <row r="9" spans="1:12" x14ac:dyDescent="0.35">
      <c r="A9" s="3" t="s">
        <v>60</v>
      </c>
      <c r="B9" s="3" t="s">
        <v>130</v>
      </c>
      <c r="C9" s="3" t="s">
        <v>16</v>
      </c>
      <c r="D9" s="3" t="s">
        <v>55</v>
      </c>
      <c r="E9" s="15">
        <v>2.9000000000000001E-2</v>
      </c>
      <c r="F9" s="15">
        <v>4.3999999999999997E-2</v>
      </c>
      <c r="G9" s="15">
        <f t="shared" si="0"/>
        <v>-1.4999999999999996E-2</v>
      </c>
      <c r="H9" s="15">
        <v>3.1E-2</v>
      </c>
      <c r="I9" s="15">
        <v>2.7E-2</v>
      </c>
      <c r="J9" s="7">
        <v>16.899999999999999</v>
      </c>
      <c r="K9" s="15">
        <v>0.51300000000000001</v>
      </c>
      <c r="L9" s="17" t="s">
        <v>123</v>
      </c>
    </row>
    <row r="10" spans="1:12" x14ac:dyDescent="0.35">
      <c r="A10" s="1" t="s">
        <v>64</v>
      </c>
      <c r="B10" s="1" t="s">
        <v>131</v>
      </c>
      <c r="C10" s="1" t="s">
        <v>65</v>
      </c>
      <c r="D10" s="1" t="s">
        <v>67</v>
      </c>
      <c r="E10" s="14">
        <v>5.8000000000000003E-2</v>
      </c>
      <c r="F10" s="14">
        <v>5.1999999999999998E-2</v>
      </c>
      <c r="G10" s="14">
        <f t="shared" si="0"/>
        <v>6.0000000000000053E-3</v>
      </c>
      <c r="H10" s="14">
        <v>4.9000000000000002E-2</v>
      </c>
      <c r="I10" s="14">
        <v>0.05</v>
      </c>
      <c r="J10" s="6">
        <v>9.4</v>
      </c>
      <c r="K10" s="14">
        <v>0.39700000000000002</v>
      </c>
      <c r="L10" s="16" t="s">
        <v>125</v>
      </c>
    </row>
    <row r="11" spans="1:12" x14ac:dyDescent="0.35">
      <c r="A11" s="3" t="s">
        <v>70</v>
      </c>
      <c r="B11" s="3" t="s">
        <v>132</v>
      </c>
      <c r="C11" s="3" t="s">
        <v>30</v>
      </c>
      <c r="D11" s="3" t="s">
        <v>49</v>
      </c>
      <c r="E11" s="15">
        <v>8.7999999999999995E-2</v>
      </c>
      <c r="F11" s="15">
        <v>8.1000000000000003E-2</v>
      </c>
      <c r="G11" s="15">
        <f t="shared" si="0"/>
        <v>6.9999999999999923E-3</v>
      </c>
      <c r="H11" s="15">
        <v>3.3000000000000002E-2</v>
      </c>
      <c r="I11" s="15">
        <v>0.04</v>
      </c>
      <c r="J11" s="7">
        <v>17.5</v>
      </c>
      <c r="K11" s="15">
        <v>0.63400000000000001</v>
      </c>
      <c r="L11" s="17" t="s">
        <v>121</v>
      </c>
    </row>
    <row r="12" spans="1:12" x14ac:dyDescent="0.35">
      <c r="A12" s="1" t="s">
        <v>72</v>
      </c>
      <c r="B12" s="1" t="s">
        <v>133</v>
      </c>
      <c r="C12" s="1" t="s">
        <v>36</v>
      </c>
      <c r="D12" s="1" t="s">
        <v>49</v>
      </c>
      <c r="E12" s="14">
        <v>2.5999999999999999E-2</v>
      </c>
      <c r="F12" s="14">
        <v>4.1000000000000002E-2</v>
      </c>
      <c r="G12" s="14">
        <f t="shared" si="0"/>
        <v>-1.5000000000000003E-2</v>
      </c>
      <c r="H12" s="14">
        <v>2.9000000000000001E-2</v>
      </c>
      <c r="I12" s="14">
        <v>0.03</v>
      </c>
      <c r="J12" s="6">
        <v>12.8</v>
      </c>
      <c r="K12" s="14">
        <v>0.49099999999999999</v>
      </c>
      <c r="L12" s="16" t="s">
        <v>125</v>
      </c>
    </row>
    <row r="13" spans="1:12" x14ac:dyDescent="0.35">
      <c r="A13" s="3" t="s">
        <v>76</v>
      </c>
      <c r="B13" s="3" t="s">
        <v>134</v>
      </c>
      <c r="C13" s="3" t="s">
        <v>16</v>
      </c>
      <c r="D13" s="3" t="s">
        <v>25</v>
      </c>
      <c r="E13" s="15">
        <v>7.3999999999999996E-2</v>
      </c>
      <c r="F13" s="15">
        <v>6.3E-2</v>
      </c>
      <c r="G13" s="15">
        <f t="shared" si="0"/>
        <v>1.0999999999999996E-2</v>
      </c>
      <c r="H13" s="15">
        <v>2.4E-2</v>
      </c>
      <c r="I13" s="15">
        <v>0.03</v>
      </c>
      <c r="J13" s="7">
        <v>13.6</v>
      </c>
      <c r="K13" s="15">
        <v>0.57599999999999996</v>
      </c>
      <c r="L13" s="17" t="s">
        <v>121</v>
      </c>
    </row>
    <row r="14" spans="1:12" x14ac:dyDescent="0.35">
      <c r="A14" s="1" t="s">
        <v>99</v>
      </c>
      <c r="B14" s="1" t="s">
        <v>135</v>
      </c>
      <c r="C14" s="1" t="s">
        <v>16</v>
      </c>
      <c r="D14" s="1" t="s">
        <v>18</v>
      </c>
      <c r="E14" s="14">
        <v>0.121</v>
      </c>
      <c r="F14" s="14">
        <v>6.9000000000000006E-2</v>
      </c>
      <c r="G14" s="14">
        <f t="shared" si="0"/>
        <v>5.1999999999999991E-2</v>
      </c>
      <c r="H14" s="14">
        <v>5.7000000000000002E-2</v>
      </c>
      <c r="I14" s="14">
        <v>3.5000000000000003E-2</v>
      </c>
      <c r="J14" s="6">
        <v>31.2</v>
      </c>
      <c r="K14" s="14">
        <v>0.74299999999999999</v>
      </c>
      <c r="L14" s="16" t="s">
        <v>123</v>
      </c>
    </row>
    <row r="15" spans="1:12" x14ac:dyDescent="0.35">
      <c r="A15" s="3" t="s">
        <v>111</v>
      </c>
      <c r="B15" s="3" t="s">
        <v>136</v>
      </c>
      <c r="C15" s="3" t="s">
        <v>41</v>
      </c>
      <c r="D15" s="3" t="s">
        <v>49</v>
      </c>
      <c r="E15" s="15">
        <v>4.9000000000000002E-2</v>
      </c>
      <c r="F15" s="15">
        <v>5.5E-2</v>
      </c>
      <c r="G15" s="15">
        <f t="shared" si="0"/>
        <v>-5.9999999999999984E-3</v>
      </c>
      <c r="H15" s="15">
        <v>2.1999999999999999E-2</v>
      </c>
      <c r="I15" s="15">
        <v>0.03</v>
      </c>
      <c r="J15" s="7">
        <v>10.199999999999999</v>
      </c>
      <c r="K15" s="15">
        <v>0.42399999999999999</v>
      </c>
      <c r="L15" s="17" t="s">
        <v>121</v>
      </c>
    </row>
    <row r="16" spans="1:12" x14ac:dyDescent="0.35">
      <c r="A16" s="3" t="s">
        <v>82</v>
      </c>
      <c r="B16" s="3" t="s">
        <v>137</v>
      </c>
      <c r="C16" s="3" t="s">
        <v>16</v>
      </c>
      <c r="D16" s="3" t="s">
        <v>55</v>
      </c>
      <c r="E16" s="15">
        <v>6.0999999999999999E-2</v>
      </c>
      <c r="F16" s="15">
        <v>5.7000000000000002E-2</v>
      </c>
      <c r="G16" s="15">
        <v>3.9999999999999966E-3</v>
      </c>
      <c r="H16" s="15">
        <v>2.5999999999999999E-2</v>
      </c>
      <c r="I16" s="15">
        <v>0.03</v>
      </c>
      <c r="J16" s="18">
        <v>10.8</v>
      </c>
      <c r="K16" s="15">
        <v>0.43799999999999994</v>
      </c>
      <c r="L16" s="17" t="s">
        <v>121</v>
      </c>
    </row>
    <row r="17" spans="1:12" x14ac:dyDescent="0.35">
      <c r="A17" s="3" t="s">
        <v>87</v>
      </c>
      <c r="B17" s="3" t="s">
        <v>138</v>
      </c>
      <c r="C17" s="3" t="s">
        <v>30</v>
      </c>
      <c r="D17" s="3" t="s">
        <v>55</v>
      </c>
      <c r="E17" s="15">
        <v>7.9000000000000001E-2</v>
      </c>
      <c r="F17" s="15">
        <v>7.0999999999999994E-2</v>
      </c>
      <c r="G17" s="15">
        <v>8.0000000000000071E-3</v>
      </c>
      <c r="H17" s="15">
        <v>3.4000000000000002E-2</v>
      </c>
      <c r="I17" s="15">
        <v>0.04</v>
      </c>
      <c r="J17" s="18">
        <v>15.7</v>
      </c>
      <c r="K17" s="15">
        <v>0.59299999999999997</v>
      </c>
      <c r="L17" s="17" t="s">
        <v>121</v>
      </c>
    </row>
    <row r="18" spans="1:12" x14ac:dyDescent="0.35">
      <c r="A18" s="3" t="s">
        <v>91</v>
      </c>
      <c r="B18" s="3" t="s">
        <v>139</v>
      </c>
      <c r="C18" s="3" t="s">
        <v>47</v>
      </c>
      <c r="D18" s="3" t="s">
        <v>67</v>
      </c>
      <c r="E18" s="15">
        <v>4.7E-2</v>
      </c>
      <c r="F18" s="15">
        <v>4.2999999999999997E-2</v>
      </c>
      <c r="G18" s="15">
        <v>4.0000000000000036E-3</v>
      </c>
      <c r="H18" s="15">
        <v>2.4E-2</v>
      </c>
      <c r="I18" s="15">
        <v>0.03</v>
      </c>
      <c r="J18" s="18">
        <v>9.1</v>
      </c>
      <c r="K18" s="15">
        <v>0.41499999999999998</v>
      </c>
      <c r="L18" s="17" t="s">
        <v>121</v>
      </c>
    </row>
    <row r="19" spans="1:12" x14ac:dyDescent="0.35">
      <c r="A19" s="3" t="s">
        <v>93</v>
      </c>
      <c r="B19" s="3" t="s">
        <v>140</v>
      </c>
      <c r="C19" s="3" t="s">
        <v>53</v>
      </c>
      <c r="D19" s="3" t="s">
        <v>25</v>
      </c>
      <c r="E19" s="15">
        <v>6.4000000000000001E-2</v>
      </c>
      <c r="F19" s="15">
        <v>0.06</v>
      </c>
      <c r="G19" s="15">
        <v>4.0000000000000036E-3</v>
      </c>
      <c r="H19" s="15">
        <v>3.1E-2</v>
      </c>
      <c r="I19" s="15">
        <v>0.04</v>
      </c>
      <c r="J19" s="18">
        <v>8.8000000000000007</v>
      </c>
      <c r="K19" s="15">
        <v>0.38200000000000001</v>
      </c>
      <c r="L19" s="17" t="s">
        <v>121</v>
      </c>
    </row>
    <row r="20" spans="1:12" x14ac:dyDescent="0.35">
      <c r="A20" s="3" t="s">
        <v>96</v>
      </c>
      <c r="B20" s="3" t="s">
        <v>141</v>
      </c>
      <c r="C20" s="3" t="s">
        <v>30</v>
      </c>
      <c r="D20" s="3" t="s">
        <v>18</v>
      </c>
      <c r="E20" s="15">
        <v>0.10199999999999999</v>
      </c>
      <c r="F20" s="15">
        <v>8.8999999999999996E-2</v>
      </c>
      <c r="G20" s="15">
        <v>1.2999999999999998E-2</v>
      </c>
      <c r="H20" s="15">
        <v>3.9E-2</v>
      </c>
      <c r="I20" s="15">
        <v>0.04</v>
      </c>
      <c r="J20" s="18">
        <v>18.600000000000001</v>
      </c>
      <c r="K20" s="15">
        <v>0.68900000000000006</v>
      </c>
      <c r="L20" s="17" t="s">
        <v>125</v>
      </c>
    </row>
    <row r="21" spans="1:12" x14ac:dyDescent="0.35">
      <c r="A21" s="3" t="s">
        <v>101</v>
      </c>
      <c r="B21" s="3" t="s">
        <v>142</v>
      </c>
      <c r="C21" s="3" t="s">
        <v>36</v>
      </c>
      <c r="D21" s="3" t="s">
        <v>18</v>
      </c>
      <c r="E21" s="15">
        <v>3.7999999999999999E-2</v>
      </c>
      <c r="F21" s="15">
        <v>4.4999999999999998E-2</v>
      </c>
      <c r="G21" s="15">
        <v>-6.9999999999999993E-3</v>
      </c>
      <c r="H21" s="15">
        <v>3.2000000000000001E-2</v>
      </c>
      <c r="I21" s="15">
        <v>0.03</v>
      </c>
      <c r="J21" s="18">
        <v>11.7</v>
      </c>
      <c r="K21" s="15">
        <v>0.46</v>
      </c>
      <c r="L21" s="17" t="s">
        <v>123</v>
      </c>
    </row>
    <row r="22" spans="1:12" x14ac:dyDescent="0.35">
      <c r="A22" s="3" t="s">
        <v>103</v>
      </c>
      <c r="B22" s="3" t="s">
        <v>143</v>
      </c>
      <c r="C22" s="3" t="s">
        <v>16</v>
      </c>
      <c r="D22" s="3" t="s">
        <v>25</v>
      </c>
      <c r="E22" s="15">
        <v>5.1999999999999998E-2</v>
      </c>
      <c r="F22" s="15">
        <v>4.9000000000000002E-2</v>
      </c>
      <c r="G22" s="15">
        <v>2.9999999999999957E-3</v>
      </c>
      <c r="H22" s="15">
        <v>2.7E-2</v>
      </c>
      <c r="I22" s="15">
        <v>0.03</v>
      </c>
      <c r="J22" s="18">
        <v>7.9</v>
      </c>
      <c r="K22" s="15">
        <v>0.40799999999999997</v>
      </c>
      <c r="L22" s="17" t="s">
        <v>125</v>
      </c>
    </row>
    <row r="23" spans="1:12" x14ac:dyDescent="0.35">
      <c r="A23" s="3" t="s">
        <v>108</v>
      </c>
      <c r="B23" s="3" t="s">
        <v>144</v>
      </c>
      <c r="C23" s="3" t="s">
        <v>16</v>
      </c>
      <c r="D23" s="3" t="s">
        <v>18</v>
      </c>
      <c r="E23" s="15">
        <v>7.2999999999999995E-2</v>
      </c>
      <c r="F23" s="15">
        <v>6.5000000000000002E-2</v>
      </c>
      <c r="G23" s="15">
        <v>7.9999999999999932E-3</v>
      </c>
      <c r="H23" s="15">
        <v>3.3000000000000002E-2</v>
      </c>
      <c r="I23" s="15">
        <v>3.5000000000000003E-2</v>
      </c>
      <c r="J23" s="18">
        <v>14.5</v>
      </c>
      <c r="K23" s="15">
        <v>0.54899999999999993</v>
      </c>
      <c r="L23" s="17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567A-947F-4266-82F4-95562075D8B5}">
  <dimension ref="A1:F15"/>
  <sheetViews>
    <sheetView showGridLines="0" workbookViewId="0">
      <selection activeCell="A20" sqref="A20"/>
    </sheetView>
  </sheetViews>
  <sheetFormatPr defaultRowHeight="14.5" x14ac:dyDescent="0.35"/>
  <cols>
    <col min="1" max="1" width="40.90625" customWidth="1"/>
    <col min="2" max="2" width="19.08984375" customWidth="1"/>
    <col min="3" max="3" width="16.36328125" customWidth="1"/>
    <col min="4" max="4" width="17.26953125" customWidth="1"/>
    <col min="5" max="5" width="23.6328125" customWidth="1"/>
    <col min="6" max="6" width="20.90625" customWidth="1"/>
  </cols>
  <sheetData>
    <row r="1" spans="1:6" ht="26" x14ac:dyDescent="0.6">
      <c r="A1" s="22" t="s">
        <v>145</v>
      </c>
      <c r="B1" s="21"/>
      <c r="C1" s="21"/>
      <c r="D1" s="21"/>
      <c r="E1" s="21"/>
      <c r="F1" s="21"/>
    </row>
    <row r="3" spans="1:6" x14ac:dyDescent="0.35">
      <c r="A3" s="23" t="s">
        <v>12</v>
      </c>
      <c r="B3" s="23" t="s">
        <v>146</v>
      </c>
      <c r="C3" s="23" t="s">
        <v>147</v>
      </c>
      <c r="D3" s="23" t="s">
        <v>148</v>
      </c>
      <c r="E3" s="23" t="s">
        <v>149</v>
      </c>
      <c r="F3" s="23" t="s">
        <v>150</v>
      </c>
    </row>
    <row r="4" spans="1:6" x14ac:dyDescent="0.35">
      <c r="A4" s="20" t="s">
        <v>21</v>
      </c>
      <c r="B4" s="20" t="s">
        <v>151</v>
      </c>
      <c r="C4" s="20" t="s">
        <v>152</v>
      </c>
      <c r="D4" s="20" t="s">
        <v>153</v>
      </c>
      <c r="E4" s="20" t="s">
        <v>154</v>
      </c>
      <c r="F4" s="20" t="s">
        <v>155</v>
      </c>
    </row>
    <row r="5" spans="1:6" x14ac:dyDescent="0.35">
      <c r="A5" s="24" t="s">
        <v>27</v>
      </c>
      <c r="B5" s="24" t="s">
        <v>156</v>
      </c>
      <c r="C5" s="24" t="s">
        <v>157</v>
      </c>
      <c r="D5" s="24" t="s">
        <v>153</v>
      </c>
      <c r="E5" s="24" t="s">
        <v>158</v>
      </c>
      <c r="F5" s="24" t="s">
        <v>159</v>
      </c>
    </row>
    <row r="6" spans="1:6" x14ac:dyDescent="0.35">
      <c r="A6" s="20" t="s">
        <v>38</v>
      </c>
      <c r="B6" s="20" t="s">
        <v>160</v>
      </c>
      <c r="C6" s="20" t="s">
        <v>161</v>
      </c>
      <c r="D6" s="20" t="s">
        <v>162</v>
      </c>
      <c r="E6" s="20" t="s">
        <v>154</v>
      </c>
      <c r="F6" s="20" t="s">
        <v>163</v>
      </c>
    </row>
    <row r="7" spans="1:6" x14ac:dyDescent="0.35">
      <c r="A7" s="24" t="s">
        <v>33</v>
      </c>
      <c r="B7" s="24" t="s">
        <v>151</v>
      </c>
      <c r="C7" s="24" t="s">
        <v>164</v>
      </c>
      <c r="D7" s="24" t="s">
        <v>153</v>
      </c>
      <c r="E7" s="24" t="s">
        <v>165</v>
      </c>
      <c r="F7" s="24" t="s">
        <v>155</v>
      </c>
    </row>
    <row r="8" spans="1:6" x14ac:dyDescent="0.35">
      <c r="A8" s="20" t="s">
        <v>50</v>
      </c>
      <c r="B8" s="20" t="s">
        <v>156</v>
      </c>
      <c r="C8" s="20" t="s">
        <v>166</v>
      </c>
      <c r="D8" s="20" t="s">
        <v>162</v>
      </c>
      <c r="E8" s="20" t="s">
        <v>167</v>
      </c>
      <c r="F8" s="20" t="s">
        <v>159</v>
      </c>
    </row>
    <row r="9" spans="1:6" x14ac:dyDescent="0.35">
      <c r="A9" s="24" t="s">
        <v>44</v>
      </c>
      <c r="B9" s="24" t="s">
        <v>156</v>
      </c>
      <c r="C9" s="24" t="s">
        <v>157</v>
      </c>
      <c r="D9" s="24" t="s">
        <v>153</v>
      </c>
      <c r="E9" s="24" t="s">
        <v>154</v>
      </c>
      <c r="F9" s="24" t="s">
        <v>163</v>
      </c>
    </row>
    <row r="10" spans="1:6" x14ac:dyDescent="0.35">
      <c r="A10" s="20" t="s">
        <v>58</v>
      </c>
      <c r="B10" s="20" t="s">
        <v>160</v>
      </c>
      <c r="C10" s="20" t="s">
        <v>168</v>
      </c>
      <c r="D10" s="20" t="s">
        <v>162</v>
      </c>
      <c r="E10" s="20" t="s">
        <v>169</v>
      </c>
      <c r="F10" s="20" t="s">
        <v>170</v>
      </c>
    </row>
    <row r="11" spans="1:6" x14ac:dyDescent="0.35">
      <c r="A11" s="24" t="s">
        <v>68</v>
      </c>
      <c r="B11" s="24" t="s">
        <v>160</v>
      </c>
      <c r="C11" s="24" t="s">
        <v>171</v>
      </c>
      <c r="D11" s="24" t="s">
        <v>172</v>
      </c>
      <c r="E11" s="24" t="s">
        <v>173</v>
      </c>
      <c r="F11" s="24" t="s">
        <v>170</v>
      </c>
    </row>
    <row r="12" spans="1:6" x14ac:dyDescent="0.35">
      <c r="A12" s="20" t="s">
        <v>62</v>
      </c>
      <c r="B12" s="20" t="s">
        <v>160</v>
      </c>
      <c r="C12" s="20" t="s">
        <v>161</v>
      </c>
      <c r="D12" s="20" t="s">
        <v>153</v>
      </c>
      <c r="E12" s="20" t="s">
        <v>174</v>
      </c>
      <c r="F12" s="20" t="s">
        <v>163</v>
      </c>
    </row>
    <row r="13" spans="1:6" x14ac:dyDescent="0.35">
      <c r="A13" s="24" t="s">
        <v>74</v>
      </c>
      <c r="B13" s="24" t="s">
        <v>156</v>
      </c>
      <c r="C13" s="24" t="s">
        <v>166</v>
      </c>
      <c r="D13" s="24" t="s">
        <v>162</v>
      </c>
      <c r="E13" s="24" t="s">
        <v>175</v>
      </c>
      <c r="F13" s="24" t="s">
        <v>159</v>
      </c>
    </row>
    <row r="14" spans="1:6" x14ac:dyDescent="0.35">
      <c r="A14" s="20" t="s">
        <v>80</v>
      </c>
      <c r="B14" s="20" t="s">
        <v>151</v>
      </c>
      <c r="C14" s="20" t="s">
        <v>164</v>
      </c>
      <c r="D14" s="20" t="s">
        <v>153</v>
      </c>
      <c r="E14" s="20" t="s">
        <v>158</v>
      </c>
      <c r="F14" s="20" t="s">
        <v>155</v>
      </c>
    </row>
    <row r="15" spans="1:6" x14ac:dyDescent="0.35">
      <c r="A15" s="24" t="s">
        <v>85</v>
      </c>
      <c r="B15" s="24" t="s">
        <v>151</v>
      </c>
      <c r="C15" s="24" t="s">
        <v>152</v>
      </c>
      <c r="D15" s="24" t="s">
        <v>153</v>
      </c>
      <c r="E15" s="24" t="s">
        <v>154</v>
      </c>
      <c r="F15" s="24" t="s">
        <v>155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Flows</vt:lpstr>
      <vt:lpstr>Risk Metrics</vt:lpstr>
      <vt:lpstr>Counterparty 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 Foulkrod</cp:lastModifiedBy>
  <cp:revision/>
  <dcterms:created xsi:type="dcterms:W3CDTF">2026-09-01T16:56:23Z</dcterms:created>
  <dcterms:modified xsi:type="dcterms:W3CDTF">2026-09-01T17:36:07Z</dcterms:modified>
  <cp:category/>
  <cp:contentStatus/>
</cp:coreProperties>
</file>